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6d5b441059df51/Vision Private/"/>
    </mc:Choice>
  </mc:AlternateContent>
  <xr:revisionPtr revIDLastSave="73" documentId="8_{F24B3979-1B35-4AB8-8386-E9542B89A476}" xr6:coauthVersionLast="47" xr6:coauthVersionMax="47" xr10:uidLastSave="{5D7DF319-0E0C-49B2-B783-59928F38F26E}"/>
  <bookViews>
    <workbookView xWindow="-110" yWindow="-110" windowWidth="24220" windowHeight="15500" xr2:uid="{FB2CA7DC-8ACF-4A0E-A6BC-46DD8D53D707}"/>
  </bookViews>
  <sheets>
    <sheet name="perfiles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37" i="1"/>
  <c r="D37" i="1"/>
  <c r="E35" i="1"/>
  <c r="D35" i="1"/>
  <c r="E33" i="1"/>
  <c r="D33" i="1"/>
  <c r="E30" i="1"/>
  <c r="E31" i="1"/>
  <c r="E32" i="1"/>
  <c r="E34" i="1"/>
  <c r="E36" i="1"/>
  <c r="E38" i="1"/>
  <c r="D39" i="1"/>
  <c r="D38" i="1"/>
  <c r="D36" i="1"/>
  <c r="D34" i="1"/>
  <c r="D32" i="1"/>
  <c r="D31" i="1"/>
  <c r="D30" i="1"/>
  <c r="C39" i="1"/>
  <c r="C38" i="1"/>
  <c r="C37" i="1"/>
  <c r="C36" i="1"/>
  <c r="C35" i="1"/>
  <c r="C34" i="1"/>
  <c r="C33" i="1"/>
  <c r="C32" i="1"/>
  <c r="C31" i="1"/>
  <c r="C30" i="1"/>
</calcChain>
</file>

<file path=xl/sharedStrings.xml><?xml version="1.0" encoding="utf-8"?>
<sst xmlns="http://schemas.openxmlformats.org/spreadsheetml/2006/main" count="110" uniqueCount="75">
  <si>
    <t>Die</t>
  </si>
  <si>
    <t>Type</t>
  </si>
  <si>
    <t>UsefulWidth_mm</t>
  </si>
  <si>
    <t>lbs per m - Uncored</t>
  </si>
  <si>
    <t>lbs per m - Cored</t>
  </si>
  <si>
    <t>Volume per m</t>
  </si>
  <si>
    <t>Category</t>
  </si>
  <si>
    <t>#15555</t>
  </si>
  <si>
    <t>SA2024_6in x 1.75in Spacer</t>
  </si>
  <si>
    <t>6in</t>
  </si>
  <si>
    <t>#15554</t>
  </si>
  <si>
    <t>SA2024_6in x 2.25in SPACER</t>
  </si>
  <si>
    <t>#15719</t>
  </si>
  <si>
    <t>SA2024_6in x 4.5in Spacer</t>
  </si>
  <si>
    <t>#15552</t>
  </si>
  <si>
    <t>SA2024_6in x 9in Form</t>
  </si>
  <si>
    <t>#15556</t>
  </si>
  <si>
    <t>SA2024_6in Exterior Corner</t>
  </si>
  <si>
    <t>#15558</t>
  </si>
  <si>
    <t>SA2024_6in Inside Corner (a)</t>
  </si>
  <si>
    <t>#15557</t>
  </si>
  <si>
    <t>SA2024_6in Inside Corner (b)</t>
  </si>
  <si>
    <t>#15559</t>
  </si>
  <si>
    <t>SA2024_6in Female Starter Strip</t>
  </si>
  <si>
    <t>#15560</t>
  </si>
  <si>
    <t>SA2024_6in Male Starter Strip</t>
  </si>
  <si>
    <t>#15561</t>
  </si>
  <si>
    <t>SA2024_6in Wall Cap</t>
  </si>
  <si>
    <t>SA2024_6in 45 Corner Connector.bak</t>
  </si>
  <si>
    <t>#5126</t>
  </si>
  <si>
    <t>SA2024_80mm 3Way</t>
  </si>
  <si>
    <t>80mm</t>
  </si>
  <si>
    <t>#5125</t>
  </si>
  <si>
    <t>SA2024_80mm Corner</t>
  </si>
  <si>
    <t>#5124</t>
  </si>
  <si>
    <t>SA2024_80mm Joiner</t>
  </si>
  <si>
    <t>#5127</t>
  </si>
  <si>
    <t>SA2024_80mm starter strip</t>
  </si>
  <si>
    <t>#5123</t>
  </si>
  <si>
    <t>SA2024_80mm Wall Panel</t>
  </si>
  <si>
    <t>#5173</t>
  </si>
  <si>
    <t>SA2024_80mm x 22mm Spacer</t>
  </si>
  <si>
    <t>#5130</t>
  </si>
  <si>
    <t>SA2024_80mm x 25mm Connector</t>
  </si>
  <si>
    <t>SA2024_80mm x 30mm Connector</t>
  </si>
  <si>
    <t>#5174</t>
  </si>
  <si>
    <t>SA2024_80mm x 30mm Spacer</t>
  </si>
  <si>
    <t>#5975</t>
  </si>
  <si>
    <t>SA2024_80mm x 90mm Spacer</t>
  </si>
  <si>
    <t>SA2024_80mm Wall Cap</t>
  </si>
  <si>
    <t>#5128</t>
  </si>
  <si>
    <t>SA2024_80mm Door Frame Top MITRED</t>
  </si>
  <si>
    <t>SA2024_80mm Door Frame Top</t>
  </si>
  <si>
    <t>#5175</t>
  </si>
  <si>
    <t>SA2024_80mm Filler Strip</t>
  </si>
  <si>
    <t>#5970</t>
  </si>
  <si>
    <t>Door Jamb Corner Key</t>
  </si>
  <si>
    <t>#2586</t>
  </si>
  <si>
    <t>Wall / Roof Trim</t>
  </si>
  <si>
    <t>#5129</t>
  </si>
  <si>
    <t>Window Frame</t>
  </si>
  <si>
    <t>$ per 5000' Cored</t>
  </si>
  <si>
    <t>$ per feet Cored</t>
  </si>
  <si>
    <t>$ per m Cored</t>
  </si>
  <si>
    <t>SA2024_8in STARTER FEMALE</t>
  </si>
  <si>
    <t>SA2024_8in STARTER MALE</t>
  </si>
  <si>
    <t>SA2024_8in x 2.5in (INSULATED) SPACER</t>
  </si>
  <si>
    <t>SA2024_8in x 2.5in (NON-INSULATED) SPACER</t>
  </si>
  <si>
    <t>SA2024_8in x 4.5in (INSULATED) SPACER</t>
  </si>
  <si>
    <t>SA2024_8in x 4.5in (NON-INSULATED) SPACER</t>
  </si>
  <si>
    <t>SA2024_8in x 9in (INSULATED) FORM</t>
  </si>
  <si>
    <t>SA2024_8in x 9in (NON-INSULATED) FORM</t>
  </si>
  <si>
    <t>SA2024_8in x 90d CORNER CAP</t>
  </si>
  <si>
    <t>SA2024_8in x 90d INTERIOR CORNER</t>
  </si>
  <si>
    <t>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</si>
</sst>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68AA0-0CC4-486C-A503-93E51F484DCC}" name="Table1" displayName="Table1" ref="A1:J39" totalsRowShown="0" headerRowDxfId="11" dataDxfId="10">
  <autoFilter ref="A1:J39" xr:uid="{06568AA0-0CC4-486C-A503-93E51F484DCC}"/>
  <tableColumns count="10">
    <tableColumn id="1" xr3:uid="{60E56F27-F166-4FC4-B8BE-326CD6EE4675}" name="Die" dataDxfId="9"/>
    <tableColumn id="2" xr3:uid="{400256DA-EDEB-4276-A3D1-6172D9279A9D}" name="Type" dataDxfId="8"/>
    <tableColumn id="3" xr3:uid="{F0F1C3B6-A585-4607-8DA2-7BE3EF32FC4C}" name="UsefulWidth_mm" dataDxfId="7"/>
    <tableColumn id="4" xr3:uid="{6E0334BC-1694-43A2-84FD-40CB82768A38}" name="lbs per m - Uncored" dataDxfId="6"/>
    <tableColumn id="5" xr3:uid="{DAFCD9C5-3D47-48FF-A4A6-1EEB1E089551}" name="lbs per m - Cored" dataDxfId="5"/>
    <tableColumn id="6" xr3:uid="{4A82B528-BA71-4038-8AD8-33B5A2BBAA19}" name="Volume per m" dataDxfId="4"/>
    <tableColumn id="9" xr3:uid="{D572F492-B7A8-4C46-A706-E33DF756E6F3}" name="$ per 5000' Cored" dataDxfId="3"/>
    <tableColumn id="10" xr3:uid="{D6F243A1-35C9-430D-943D-A69A49ECF054}" name="$ per feet Cored" dataDxfId="2" dataCellStyle="Currency"/>
    <tableColumn id="8" xr3:uid="{67C30AA3-CF99-4E4A-B685-0CFFD19B116E}" name="$ per m Cored" dataDxfId="1" dataCellStyle="Currency"/>
    <tableColumn id="7" xr3:uid="{DA3B88BD-8254-4AC5-82F2-3FB49CB473DA}" name="Category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D610-7979-42EC-8568-131358B69928}">
  <dimension ref="A1:J39"/>
  <sheetViews>
    <sheetView tabSelected="1" workbookViewId="0">
      <selection activeCell="E25" sqref="E25"/>
    </sheetView>
  </sheetViews>
  <sheetFormatPr defaultRowHeight="14.5" x14ac:dyDescent="0.35"/>
  <cols>
    <col min="1" max="1" width="8.7265625" style="1"/>
    <col min="2" max="2" width="38.6328125" style="3" bestFit="1" customWidth="1"/>
    <col min="3" max="3" width="20.453125" style="1" bestFit="1" customWidth="1"/>
    <col min="4" max="4" width="22.36328125" style="1" bestFit="1" customWidth="1"/>
    <col min="5" max="5" width="20.26953125" style="1" bestFit="1" customWidth="1"/>
    <col min="6" max="6" width="17.453125" style="1" bestFit="1" customWidth="1"/>
    <col min="7" max="7" width="20.453125" style="1" customWidth="1"/>
    <col min="8" max="8" width="17.453125" style="1" customWidth="1"/>
    <col min="9" max="9" width="19.453125" style="1" bestFit="1" customWidth="1"/>
    <col min="10" max="10" width="13.1796875" style="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1" t="s">
        <v>62</v>
      </c>
      <c r="I1" s="1" t="s">
        <v>63</v>
      </c>
      <c r="J1" s="1" t="s">
        <v>6</v>
      </c>
    </row>
    <row r="2" spans="1:10" x14ac:dyDescent="0.35">
      <c r="A2" s="1" t="s">
        <v>7</v>
      </c>
      <c r="B2" s="3" t="s">
        <v>8</v>
      </c>
      <c r="C2" s="1">
        <v>44.45</v>
      </c>
      <c r="D2" s="1">
        <v>3.0998000000000001</v>
      </c>
      <c r="E2" s="1">
        <v>2.8727999999999998</v>
      </c>
      <c r="F2" s="1">
        <v>8.6130000000000009E-3</v>
      </c>
      <c r="G2" s="2">
        <v>0</v>
      </c>
      <c r="H2" s="2">
        <v>0</v>
      </c>
      <c r="I2" s="2">
        <v>0</v>
      </c>
      <c r="J2" s="1" t="s">
        <v>9</v>
      </c>
    </row>
    <row r="3" spans="1:10" x14ac:dyDescent="0.35">
      <c r="A3" s="1" t="s">
        <v>10</v>
      </c>
      <c r="B3" s="3" t="s">
        <v>11</v>
      </c>
      <c r="C3" s="1">
        <v>57.15</v>
      </c>
      <c r="D3" s="1">
        <v>3.3816000000000002</v>
      </c>
      <c r="E3" s="1">
        <v>3.1545999999999998</v>
      </c>
      <c r="F3" s="1">
        <v>9.3959999999999998E-3</v>
      </c>
      <c r="G3" s="2">
        <v>0</v>
      </c>
      <c r="H3" s="2">
        <v>0</v>
      </c>
      <c r="I3" s="2">
        <v>0</v>
      </c>
      <c r="J3" s="1" t="s">
        <v>9</v>
      </c>
    </row>
    <row r="4" spans="1:10" x14ac:dyDescent="0.35">
      <c r="A4" s="1" t="s">
        <v>12</v>
      </c>
      <c r="B4" s="3" t="s">
        <v>13</v>
      </c>
      <c r="C4" s="1">
        <v>114.3</v>
      </c>
      <c r="D4" s="1">
        <v>4.4820000000000002</v>
      </c>
      <c r="E4" s="1">
        <v>4.0279999999999996</v>
      </c>
      <c r="F4" s="1">
        <v>2.9600000000000001E-2</v>
      </c>
      <c r="G4" s="2">
        <v>0</v>
      </c>
      <c r="H4" s="2">
        <v>0</v>
      </c>
      <c r="I4" s="2">
        <v>0</v>
      </c>
      <c r="J4" s="1" t="s">
        <v>9</v>
      </c>
    </row>
    <row r="5" spans="1:10" x14ac:dyDescent="0.35">
      <c r="A5" s="1" t="s">
        <v>14</v>
      </c>
      <c r="B5" s="3" t="s">
        <v>15</v>
      </c>
      <c r="C5" s="1">
        <v>228.6</v>
      </c>
      <c r="D5" s="1">
        <v>8.8379999999999992</v>
      </c>
      <c r="E5" s="1">
        <v>7.1909999999999998</v>
      </c>
      <c r="F5" s="1">
        <v>3.3149999999999999E-2</v>
      </c>
      <c r="G5" s="2">
        <v>0</v>
      </c>
      <c r="H5" s="2">
        <v>0</v>
      </c>
      <c r="I5" s="2">
        <v>0</v>
      </c>
      <c r="J5" s="1" t="s">
        <v>9</v>
      </c>
    </row>
    <row r="6" spans="1:10" x14ac:dyDescent="0.35">
      <c r="A6" s="1" t="s">
        <v>16</v>
      </c>
      <c r="B6" s="3" t="s">
        <v>17</v>
      </c>
      <c r="C6" s="1">
        <v>167.47</v>
      </c>
      <c r="D6" s="1">
        <v>4.3600000000000003</v>
      </c>
      <c r="E6" s="1">
        <v>4.3600000000000003</v>
      </c>
      <c r="F6" s="1">
        <v>2.1559999999999999E-2</v>
      </c>
      <c r="G6" s="2">
        <v>0</v>
      </c>
      <c r="H6" s="2">
        <v>0</v>
      </c>
      <c r="I6" s="2">
        <v>0</v>
      </c>
      <c r="J6" s="1" t="s">
        <v>9</v>
      </c>
    </row>
    <row r="7" spans="1:10" x14ac:dyDescent="0.35">
      <c r="A7" s="1" t="s">
        <v>18</v>
      </c>
      <c r="B7" s="3" t="s">
        <v>19</v>
      </c>
      <c r="C7" s="1">
        <v>13.124000000000001</v>
      </c>
      <c r="D7" s="1">
        <v>2.9428999999999998</v>
      </c>
      <c r="E7" s="1">
        <v>2.4039999999999999</v>
      </c>
      <c r="F7" s="1">
        <v>7.3800000000000003E-3</v>
      </c>
      <c r="G7" s="2">
        <v>0</v>
      </c>
      <c r="H7" s="2">
        <v>0</v>
      </c>
      <c r="I7" s="2">
        <v>0</v>
      </c>
      <c r="J7" s="1" t="s">
        <v>9</v>
      </c>
    </row>
    <row r="8" spans="1:10" x14ac:dyDescent="0.35">
      <c r="A8" s="1" t="s">
        <v>20</v>
      </c>
      <c r="B8" s="3" t="s">
        <v>21</v>
      </c>
      <c r="C8" s="1">
        <v>33.020000000000003</v>
      </c>
      <c r="D8" s="1">
        <v>3.2509999999999999</v>
      </c>
      <c r="E8" s="1">
        <v>2.7130000000000001</v>
      </c>
      <c r="F8" s="1">
        <v>7.3800000000000003E-3</v>
      </c>
      <c r="G8" s="2">
        <v>0</v>
      </c>
      <c r="H8" s="2">
        <v>0</v>
      </c>
      <c r="I8" s="2">
        <v>0</v>
      </c>
      <c r="J8" s="1" t="s">
        <v>9</v>
      </c>
    </row>
    <row r="9" spans="1:10" x14ac:dyDescent="0.35">
      <c r="A9" s="1" t="s">
        <v>22</v>
      </c>
      <c r="B9" s="3" t="s">
        <v>23</v>
      </c>
      <c r="C9" s="1">
        <v>43.18</v>
      </c>
      <c r="D9" s="1">
        <v>2.8180000000000001</v>
      </c>
      <c r="E9" s="1">
        <v>2.8180000000000001</v>
      </c>
      <c r="F9" s="1">
        <v>7.8300000000000002E-3</v>
      </c>
      <c r="G9" s="2">
        <v>0</v>
      </c>
      <c r="H9" s="2">
        <v>0</v>
      </c>
      <c r="I9" s="2">
        <v>0</v>
      </c>
      <c r="J9" s="1" t="s">
        <v>9</v>
      </c>
    </row>
    <row r="10" spans="1:10" x14ac:dyDescent="0.35">
      <c r="A10" s="1" t="s">
        <v>24</v>
      </c>
      <c r="B10" s="3" t="s">
        <v>25</v>
      </c>
      <c r="C10" s="1">
        <v>22.86</v>
      </c>
      <c r="D10" s="1">
        <v>2.2275999999999998</v>
      </c>
      <c r="E10" s="1">
        <v>2.2275999999999998</v>
      </c>
      <c r="F10" s="1">
        <v>9.0299999999999998E-3</v>
      </c>
      <c r="G10" s="2">
        <v>0</v>
      </c>
      <c r="H10" s="2">
        <v>0</v>
      </c>
      <c r="I10" s="2">
        <v>0</v>
      </c>
      <c r="J10" s="1" t="s">
        <v>9</v>
      </c>
    </row>
    <row r="11" spans="1:10" x14ac:dyDescent="0.35">
      <c r="A11" s="1" t="s">
        <v>26</v>
      </c>
      <c r="B11" s="3" t="s">
        <v>27</v>
      </c>
      <c r="C11" s="1">
        <v>25.4</v>
      </c>
      <c r="D11" s="1">
        <v>1.8438000000000001</v>
      </c>
      <c r="E11" s="1">
        <v>1.8438000000000001</v>
      </c>
      <c r="F11" s="1">
        <v>5.8E-4</v>
      </c>
      <c r="G11" s="2">
        <v>0</v>
      </c>
      <c r="H11" s="2">
        <v>0</v>
      </c>
      <c r="I11" s="2">
        <v>0</v>
      </c>
      <c r="J11" s="1" t="s">
        <v>9</v>
      </c>
    </row>
    <row r="12" spans="1:10" x14ac:dyDescent="0.35">
      <c r="B12" s="3" t="s">
        <v>28</v>
      </c>
      <c r="G12" s="2">
        <v>0</v>
      </c>
      <c r="H12" s="2">
        <v>0</v>
      </c>
      <c r="I12" s="2">
        <v>0</v>
      </c>
      <c r="J12" s="1" t="s">
        <v>9</v>
      </c>
    </row>
    <row r="13" spans="1:10" x14ac:dyDescent="0.35">
      <c r="A13" s="1" t="s">
        <v>29</v>
      </c>
      <c r="B13" s="3" t="s">
        <v>30</v>
      </c>
      <c r="C13" s="1">
        <v>102.61</v>
      </c>
      <c r="D13" s="1">
        <v>2.3359999999999999</v>
      </c>
      <c r="E13" s="1">
        <v>1.897</v>
      </c>
      <c r="G13" s="2">
        <v>0</v>
      </c>
      <c r="H13" s="2">
        <v>0</v>
      </c>
      <c r="I13" s="2">
        <v>0</v>
      </c>
      <c r="J13" s="1" t="s">
        <v>31</v>
      </c>
    </row>
    <row r="14" spans="1:10" x14ac:dyDescent="0.35">
      <c r="A14" s="1" t="s">
        <v>32</v>
      </c>
      <c r="B14" s="3" t="s">
        <v>33</v>
      </c>
      <c r="C14" s="1">
        <v>182.62</v>
      </c>
      <c r="D14" s="1">
        <v>2.2240000000000002</v>
      </c>
      <c r="E14" s="1">
        <v>1.931</v>
      </c>
      <c r="G14" s="2">
        <v>0</v>
      </c>
      <c r="H14" s="2">
        <v>0</v>
      </c>
      <c r="I14" s="2">
        <v>0</v>
      </c>
      <c r="J14" s="1" t="s">
        <v>31</v>
      </c>
    </row>
    <row r="15" spans="1:10" x14ac:dyDescent="0.35">
      <c r="A15" s="1" t="s">
        <v>34</v>
      </c>
      <c r="B15" s="3" t="s">
        <v>35</v>
      </c>
      <c r="C15" s="1">
        <v>102.61</v>
      </c>
      <c r="D15" s="1">
        <v>2.2330000000000001</v>
      </c>
      <c r="E15" s="1">
        <v>1.9410000000000001</v>
      </c>
      <c r="G15" s="2">
        <v>0</v>
      </c>
      <c r="H15" s="2">
        <v>0</v>
      </c>
      <c r="I15" s="2">
        <v>0</v>
      </c>
      <c r="J15" s="1" t="s">
        <v>31</v>
      </c>
    </row>
    <row r="16" spans="1:10" x14ac:dyDescent="0.35">
      <c r="A16" s="1" t="s">
        <v>36</v>
      </c>
      <c r="B16" s="3" t="s">
        <v>37</v>
      </c>
      <c r="C16" s="1">
        <v>13.34</v>
      </c>
      <c r="D16" s="1">
        <v>0.65</v>
      </c>
      <c r="E16" s="1">
        <v>0.65</v>
      </c>
      <c r="G16" s="2">
        <v>0</v>
      </c>
      <c r="H16" s="2">
        <v>0</v>
      </c>
      <c r="I16" s="2">
        <v>0</v>
      </c>
      <c r="J16" s="1" t="s">
        <v>31</v>
      </c>
    </row>
    <row r="17" spans="1:10" x14ac:dyDescent="0.35">
      <c r="A17" s="1" t="s">
        <v>38</v>
      </c>
      <c r="B17" s="3" t="s">
        <v>39</v>
      </c>
      <c r="C17" s="1">
        <v>209.08</v>
      </c>
      <c r="D17" s="1">
        <v>4.6139999999999999</v>
      </c>
      <c r="E17" s="1">
        <v>4.0279999999999996</v>
      </c>
      <c r="G17" s="2">
        <v>0</v>
      </c>
      <c r="H17" s="2">
        <v>0</v>
      </c>
      <c r="I17" s="2">
        <v>0</v>
      </c>
      <c r="J17" s="1" t="s">
        <v>31</v>
      </c>
    </row>
    <row r="18" spans="1:10" x14ac:dyDescent="0.35">
      <c r="A18" s="1" t="s">
        <v>40</v>
      </c>
      <c r="B18" s="3" t="s">
        <v>41</v>
      </c>
      <c r="C18" s="1">
        <v>22.09</v>
      </c>
      <c r="D18" s="1">
        <v>1.4239999999999999</v>
      </c>
      <c r="E18" s="1">
        <v>1.1319999999999999</v>
      </c>
      <c r="G18" s="2">
        <v>0</v>
      </c>
      <c r="H18" s="2">
        <v>0</v>
      </c>
      <c r="I18" s="2">
        <v>0</v>
      </c>
      <c r="J18" s="1" t="s">
        <v>31</v>
      </c>
    </row>
    <row r="19" spans="1:10" x14ac:dyDescent="0.35">
      <c r="A19" s="1" t="s">
        <v>42</v>
      </c>
      <c r="B19" s="3" t="s">
        <v>43</v>
      </c>
      <c r="C19" s="1">
        <v>24.63</v>
      </c>
      <c r="D19" s="1">
        <v>0.96099999999999997</v>
      </c>
      <c r="E19" s="1">
        <v>0.76500000000000001</v>
      </c>
      <c r="G19" s="2">
        <v>0</v>
      </c>
      <c r="H19" s="2">
        <v>0</v>
      </c>
      <c r="I19" s="2">
        <v>0</v>
      </c>
      <c r="J19" s="1" t="s">
        <v>31</v>
      </c>
    </row>
    <row r="20" spans="1:10" x14ac:dyDescent="0.35">
      <c r="B20" s="3" t="s">
        <v>44</v>
      </c>
      <c r="C20" s="1">
        <v>30.35</v>
      </c>
      <c r="D20" s="1">
        <v>1.1160000000000001</v>
      </c>
      <c r="E20" s="1">
        <v>0.92</v>
      </c>
      <c r="G20" s="2">
        <v>0</v>
      </c>
      <c r="H20" s="2">
        <v>0</v>
      </c>
      <c r="I20" s="2">
        <v>0</v>
      </c>
      <c r="J20" s="1" t="s">
        <v>31</v>
      </c>
    </row>
    <row r="21" spans="1:10" x14ac:dyDescent="0.35">
      <c r="A21" s="1" t="s">
        <v>45</v>
      </c>
      <c r="B21" s="3" t="s">
        <v>46</v>
      </c>
      <c r="C21" s="1">
        <v>29.08</v>
      </c>
      <c r="D21" s="1">
        <v>1.514</v>
      </c>
      <c r="E21" s="1">
        <v>1.222</v>
      </c>
      <c r="G21" s="2">
        <v>0</v>
      </c>
      <c r="H21" s="2">
        <v>0</v>
      </c>
      <c r="I21" s="2">
        <v>0</v>
      </c>
      <c r="J21" s="1" t="s">
        <v>31</v>
      </c>
    </row>
    <row r="22" spans="1:10" x14ac:dyDescent="0.35">
      <c r="A22" s="1" t="s">
        <v>47</v>
      </c>
      <c r="B22" s="3" t="s">
        <v>48</v>
      </c>
      <c r="C22" s="1">
        <v>91.44</v>
      </c>
      <c r="D22" s="1">
        <v>2.044</v>
      </c>
      <c r="E22" s="1">
        <v>1.752</v>
      </c>
      <c r="G22" s="2">
        <v>0</v>
      </c>
      <c r="H22" s="2">
        <v>0</v>
      </c>
      <c r="I22" s="2">
        <v>0</v>
      </c>
      <c r="J22" s="1" t="s">
        <v>31</v>
      </c>
    </row>
    <row r="23" spans="1:10" x14ac:dyDescent="0.35">
      <c r="B23" s="3" t="s">
        <v>49</v>
      </c>
      <c r="C23" s="1">
        <v>25.4</v>
      </c>
      <c r="D23" s="1">
        <v>0.8</v>
      </c>
      <c r="E23" s="1">
        <v>0.8</v>
      </c>
      <c r="G23" s="2">
        <v>0</v>
      </c>
      <c r="H23" s="2">
        <v>0</v>
      </c>
      <c r="I23" s="2">
        <v>0</v>
      </c>
      <c r="J23" s="1" t="s">
        <v>31</v>
      </c>
    </row>
    <row r="24" spans="1:10" x14ac:dyDescent="0.35">
      <c r="A24" s="1" t="s">
        <v>50</v>
      </c>
      <c r="B24" s="3" t="s">
        <v>51</v>
      </c>
      <c r="C24" s="1">
        <v>25.4</v>
      </c>
      <c r="D24" s="1">
        <v>1.1160000000000001</v>
      </c>
      <c r="E24" s="1">
        <v>1.1160000000000001</v>
      </c>
      <c r="G24" s="2">
        <v>0</v>
      </c>
      <c r="H24" s="2">
        <v>0</v>
      </c>
      <c r="I24" s="2">
        <v>0</v>
      </c>
      <c r="J24" s="1" t="s">
        <v>31</v>
      </c>
    </row>
    <row r="25" spans="1:10" x14ac:dyDescent="0.35">
      <c r="B25" s="3" t="s">
        <v>52</v>
      </c>
      <c r="C25" s="1">
        <v>25.4</v>
      </c>
      <c r="D25" s="1">
        <v>1.1160000000000001</v>
      </c>
      <c r="E25" s="1">
        <v>1.1160000000000001</v>
      </c>
      <c r="G25" s="2">
        <v>0</v>
      </c>
      <c r="H25" s="2">
        <v>0</v>
      </c>
      <c r="I25" s="2">
        <v>0</v>
      </c>
      <c r="J25" s="1" t="s">
        <v>31</v>
      </c>
    </row>
    <row r="26" spans="1:10" x14ac:dyDescent="0.35">
      <c r="A26" s="1" t="s">
        <v>53</v>
      </c>
      <c r="B26" s="3" t="s">
        <v>54</v>
      </c>
      <c r="D26" s="1">
        <v>0.5</v>
      </c>
      <c r="E26" s="1">
        <v>0.5</v>
      </c>
      <c r="G26" s="2">
        <v>0</v>
      </c>
      <c r="H26" s="2">
        <v>0</v>
      </c>
      <c r="I26" s="2">
        <v>0</v>
      </c>
      <c r="J26" s="1" t="s">
        <v>31</v>
      </c>
    </row>
    <row r="27" spans="1:10" x14ac:dyDescent="0.35">
      <c r="A27" s="1" t="s">
        <v>55</v>
      </c>
      <c r="B27" s="3" t="s">
        <v>56</v>
      </c>
      <c r="G27" s="2">
        <v>0</v>
      </c>
      <c r="H27" s="2">
        <v>0</v>
      </c>
      <c r="I27" s="2">
        <v>0</v>
      </c>
      <c r="J27" s="1" t="s">
        <v>31</v>
      </c>
    </row>
    <row r="28" spans="1:10" x14ac:dyDescent="0.35">
      <c r="A28" s="1" t="s">
        <v>57</v>
      </c>
      <c r="B28" s="3" t="s">
        <v>58</v>
      </c>
      <c r="G28" s="2">
        <v>0</v>
      </c>
      <c r="H28" s="2">
        <v>0</v>
      </c>
      <c r="I28" s="2">
        <v>0</v>
      </c>
      <c r="J28" s="1" t="s">
        <v>31</v>
      </c>
    </row>
    <row r="29" spans="1:10" x14ac:dyDescent="0.35">
      <c r="A29" s="1" t="s">
        <v>59</v>
      </c>
      <c r="B29" s="3" t="s">
        <v>60</v>
      </c>
      <c r="G29" s="2">
        <v>0</v>
      </c>
      <c r="H29" s="2">
        <v>0</v>
      </c>
      <c r="I29" s="2">
        <v>0</v>
      </c>
      <c r="J29" s="1" t="s">
        <v>31</v>
      </c>
    </row>
    <row r="30" spans="1:10" x14ac:dyDescent="0.35">
      <c r="B30" s="3" t="s">
        <v>64</v>
      </c>
      <c r="C30" s="1">
        <f>C9</f>
        <v>43.18</v>
      </c>
      <c r="D30" s="1">
        <f>D9*1.15</f>
        <v>3.2406999999999999</v>
      </c>
      <c r="E30" s="1">
        <f>E9*1.15</f>
        <v>3.2406999999999999</v>
      </c>
      <c r="G30" s="2">
        <v>0</v>
      </c>
      <c r="H30" s="2">
        <v>0</v>
      </c>
      <c r="I30" s="2">
        <v>0</v>
      </c>
      <c r="J30" s="1" t="s">
        <v>74</v>
      </c>
    </row>
    <row r="31" spans="1:10" x14ac:dyDescent="0.35">
      <c r="B31" s="3" t="s">
        <v>65</v>
      </c>
      <c r="C31" s="1">
        <f>C10</f>
        <v>22.86</v>
      </c>
      <c r="D31" s="1">
        <f>D10*1.15</f>
        <v>2.5617399999999995</v>
      </c>
      <c r="E31" s="1">
        <f>E10*1.15</f>
        <v>2.5617399999999995</v>
      </c>
      <c r="G31" s="2">
        <v>0</v>
      </c>
      <c r="H31" s="2">
        <v>0</v>
      </c>
      <c r="I31" s="2">
        <v>0</v>
      </c>
      <c r="J31" s="1" t="s">
        <v>74</v>
      </c>
    </row>
    <row r="32" spans="1:10" x14ac:dyDescent="0.35">
      <c r="B32" s="3" t="s">
        <v>66</v>
      </c>
      <c r="C32" s="1">
        <f>C3</f>
        <v>57.15</v>
      </c>
      <c r="D32" s="1">
        <f>D3*1.15</f>
        <v>3.8888400000000001</v>
      </c>
      <c r="E32" s="1">
        <f>E3*1.15</f>
        <v>3.6277899999999996</v>
      </c>
      <c r="G32" s="2">
        <v>0</v>
      </c>
      <c r="H32" s="2">
        <v>0</v>
      </c>
      <c r="I32" s="2">
        <v>0</v>
      </c>
      <c r="J32" s="1" t="s">
        <v>74</v>
      </c>
    </row>
    <row r="33" spans="2:10" x14ac:dyDescent="0.35">
      <c r="B33" s="3" t="s">
        <v>67</v>
      </c>
      <c r="C33" s="1">
        <f>C32</f>
        <v>57.15</v>
      </c>
      <c r="D33" s="1">
        <f>D32</f>
        <v>3.8888400000000001</v>
      </c>
      <c r="E33" s="1">
        <f>E32</f>
        <v>3.6277899999999996</v>
      </c>
      <c r="G33" s="2">
        <v>0</v>
      </c>
      <c r="H33" s="2">
        <v>0</v>
      </c>
      <c r="I33" s="2">
        <v>0</v>
      </c>
      <c r="J33" s="1" t="s">
        <v>74</v>
      </c>
    </row>
    <row r="34" spans="2:10" x14ac:dyDescent="0.35">
      <c r="B34" s="3" t="s">
        <v>68</v>
      </c>
      <c r="C34" s="1">
        <f>C4</f>
        <v>114.3</v>
      </c>
      <c r="D34" s="1">
        <f>D4*1.15</f>
        <v>5.1543000000000001</v>
      </c>
      <c r="E34" s="1">
        <f>E4*1.15</f>
        <v>4.6321999999999992</v>
      </c>
      <c r="G34" s="2">
        <v>0</v>
      </c>
      <c r="H34" s="2">
        <v>0</v>
      </c>
      <c r="I34" s="2">
        <v>0</v>
      </c>
      <c r="J34" s="1" t="s">
        <v>74</v>
      </c>
    </row>
    <row r="35" spans="2:10" x14ac:dyDescent="0.35">
      <c r="B35" s="3" t="s">
        <v>69</v>
      </c>
      <c r="C35" s="1">
        <f>C34</f>
        <v>114.3</v>
      </c>
      <c r="D35" s="1">
        <f>D34</f>
        <v>5.1543000000000001</v>
      </c>
      <c r="E35" s="1">
        <f>E34</f>
        <v>4.6321999999999992</v>
      </c>
      <c r="G35" s="2">
        <v>0</v>
      </c>
      <c r="H35" s="2">
        <v>0</v>
      </c>
      <c r="I35" s="2">
        <v>0</v>
      </c>
      <c r="J35" s="1" t="s">
        <v>74</v>
      </c>
    </row>
    <row r="36" spans="2:10" x14ac:dyDescent="0.35">
      <c r="B36" s="3" t="s">
        <v>70</v>
      </c>
      <c r="C36" s="1">
        <f>C5</f>
        <v>228.6</v>
      </c>
      <c r="D36" s="1">
        <f>D5*1.15</f>
        <v>10.163699999999999</v>
      </c>
      <c r="E36" s="1">
        <f>E5*1.15</f>
        <v>8.2696499999999986</v>
      </c>
      <c r="G36" s="2">
        <v>0</v>
      </c>
      <c r="H36" s="2">
        <v>0</v>
      </c>
      <c r="I36" s="2">
        <v>0</v>
      </c>
      <c r="J36" s="1" t="s">
        <v>74</v>
      </c>
    </row>
    <row r="37" spans="2:10" x14ac:dyDescent="0.35">
      <c r="B37" s="3" t="s">
        <v>71</v>
      </c>
      <c r="C37" s="1">
        <f>C36</f>
        <v>228.6</v>
      </c>
      <c r="D37" s="1">
        <f>D36</f>
        <v>10.163699999999999</v>
      </c>
      <c r="E37" s="1">
        <f>E36</f>
        <v>8.2696499999999986</v>
      </c>
      <c r="G37" s="2">
        <v>0</v>
      </c>
      <c r="H37" s="2">
        <v>0</v>
      </c>
      <c r="I37" s="2">
        <v>0</v>
      </c>
      <c r="J37" s="1" t="s">
        <v>74</v>
      </c>
    </row>
    <row r="38" spans="2:10" x14ac:dyDescent="0.35">
      <c r="B38" s="3" t="s">
        <v>72</v>
      </c>
      <c r="C38" s="1">
        <f>C6</f>
        <v>167.47</v>
      </c>
      <c r="D38" s="1">
        <f>D6*1.15</f>
        <v>5.0140000000000002</v>
      </c>
      <c r="E38" s="1">
        <f>E6*1.15</f>
        <v>5.0140000000000002</v>
      </c>
      <c r="G38" s="2">
        <v>0</v>
      </c>
      <c r="H38" s="2">
        <v>0</v>
      </c>
      <c r="I38" s="2">
        <v>0</v>
      </c>
      <c r="J38" s="1" t="s">
        <v>74</v>
      </c>
    </row>
    <row r="39" spans="2:10" x14ac:dyDescent="0.35">
      <c r="B39" s="3" t="s">
        <v>73</v>
      </c>
      <c r="C39" s="1">
        <f>C7+C8</f>
        <v>46.144000000000005</v>
      </c>
      <c r="D39" s="1">
        <f>(D7+D8)*1.15</f>
        <v>7.122984999999999</v>
      </c>
      <c r="E39" s="1">
        <f>(E7+E8)*1.15</f>
        <v>5.8845499999999999</v>
      </c>
      <c r="G39" s="2">
        <v>0</v>
      </c>
      <c r="H39" s="2">
        <v>0</v>
      </c>
      <c r="I39" s="2">
        <v>0</v>
      </c>
      <c r="J39" s="1" t="s">
        <v>74</v>
      </c>
    </row>
  </sheetData>
  <pageMargins left="0.7" right="0.7" top="0.75" bottom="0.75" header="0.3" footer="0.3"/>
  <ignoredErrors>
    <ignoredError sqref="C34:E36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perfiles_master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Bravin</dc:creator>
  <cp:lastModifiedBy>Simon Bravin</cp:lastModifiedBy>
  <dcterms:created xsi:type="dcterms:W3CDTF">2025-12-17T00:41:49Z</dcterms:created>
  <dcterms:modified xsi:type="dcterms:W3CDTF">2026-03-03T15:31:33Z</dcterms:modified>
</cp:coreProperties>
</file>